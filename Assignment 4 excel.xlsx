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650987F-6A65-4504-9A47-A9236EE246C0}" xr6:coauthVersionLast="47" xr6:coauthVersionMax="47" xr10:uidLastSave="{00000000-0000-0000-0000-000000000000}"/>
  <bookViews>
    <workbookView xWindow="-108" yWindow="-108" windowWidth="23256" windowHeight="12576" xr2:uid="{3A0B7BCA-EB86-4B65-99B5-D328623A0313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2" l="1"/>
  <c r="K23" i="2"/>
  <c r="I23" i="2"/>
  <c r="J18" i="2"/>
  <c r="K18" i="2"/>
  <c r="I18" i="2"/>
  <c r="J13" i="2"/>
  <c r="K13" i="2"/>
  <c r="I13" i="2"/>
  <c r="J7" i="2"/>
  <c r="K7" i="2"/>
  <c r="I7" i="2"/>
  <c r="N25" i="1"/>
  <c r="N26" i="1"/>
  <c r="N24" i="1"/>
  <c r="F17" i="1"/>
  <c r="F18" i="1"/>
  <c r="F16" i="1"/>
  <c r="I24" i="1"/>
  <c r="I25" i="1"/>
  <c r="I26" i="1"/>
  <c r="D25" i="1"/>
  <c r="D26" i="1"/>
  <c r="D24" i="1"/>
</calcChain>
</file>

<file path=xl/sharedStrings.xml><?xml version="1.0" encoding="utf-8"?>
<sst xmlns="http://schemas.openxmlformats.org/spreadsheetml/2006/main" count="140" uniqueCount="46">
  <si>
    <t xml:space="preserve">Name </t>
  </si>
  <si>
    <t>Class_Teacher</t>
  </si>
  <si>
    <t>Abhishek</t>
  </si>
  <si>
    <t>Rahul</t>
  </si>
  <si>
    <t>Prateek</t>
  </si>
  <si>
    <t>D1</t>
  </si>
  <si>
    <t>D2</t>
  </si>
  <si>
    <t>D3</t>
  </si>
  <si>
    <t>D4</t>
  </si>
  <si>
    <t>Mr.Dheeraj</t>
  </si>
  <si>
    <t>Mr.Gaurav</t>
  </si>
  <si>
    <t>Ms.Neema</t>
  </si>
  <si>
    <t>Mr.Abhishek</t>
  </si>
  <si>
    <t>Student Details</t>
  </si>
  <si>
    <t>Garvit</t>
  </si>
  <si>
    <t>Department_id</t>
  </si>
  <si>
    <t xml:space="preserve">Department_id </t>
  </si>
  <si>
    <t>Departments &amp; HOD's</t>
  </si>
  <si>
    <t>Dr. Pankaj Sharma</t>
  </si>
  <si>
    <t>Dr.Prashant Singh</t>
  </si>
  <si>
    <t xml:space="preserve">Department Details </t>
  </si>
  <si>
    <t>HOD</t>
  </si>
  <si>
    <t>Department</t>
  </si>
  <si>
    <t>Major Subjects</t>
  </si>
  <si>
    <t>Mathematics</t>
  </si>
  <si>
    <t>Calculus</t>
  </si>
  <si>
    <t>Physics</t>
  </si>
  <si>
    <t>Quantum Physics</t>
  </si>
  <si>
    <t>Computer science</t>
  </si>
  <si>
    <t xml:space="preserve">Subjects </t>
  </si>
  <si>
    <t xml:space="preserve">Major Subjects </t>
  </si>
  <si>
    <t>Credits</t>
  </si>
  <si>
    <t>Duration</t>
  </si>
  <si>
    <t>Quantum physics</t>
  </si>
  <si>
    <t>Machine Learning</t>
  </si>
  <si>
    <t xml:space="preserve">Q-1: Find the total duration for which the student will be engaged in the class to get their respective to pass in their respective subjects </t>
  </si>
  <si>
    <t>Duration of course</t>
  </si>
  <si>
    <t xml:space="preserve">Dr.Adarsh Kumar </t>
  </si>
  <si>
    <t>Q-2: Using name of the student find the HOD</t>
  </si>
  <si>
    <t xml:space="preserve">Q-3: Using department id find the major subject </t>
  </si>
  <si>
    <t xml:space="preserve">Q-4: Using credit find the name of department </t>
  </si>
  <si>
    <t>Department &amp; HOD's</t>
  </si>
  <si>
    <t>Department  Details</t>
  </si>
  <si>
    <t>Subjects</t>
  </si>
  <si>
    <t xml:space="preserve">HLOOKUP 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</si>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</sst>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Constantia"/>
      <family val="1"/>
    </font>
    <font>
      <sz val="20"/>
      <color theme="1"/>
      <name val="Aptos Narrow"/>
      <family val="2"/>
      <scheme val="minor"/>
    </font>
    <font>
      <b/>
      <sz val="36"/>
      <color theme="1"/>
      <name val="Algerian"/>
      <family val="5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4" xfId="0" applyFill="1" applyBorder="1"/>
    <xf numFmtId="0" fontId="3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0" fillId="0" borderId="1" xfId="0" applyFill="1" applyBorder="1"/>
    <xf numFmtId="0" fontId="3" fillId="4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5" xfId="0" applyBorder="1"/>
    <xf numFmtId="0" fontId="7" fillId="7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D20-46E5-4938-A364-49182E333B61}">
  <dimension ref="A1:Q26"/>
  <sheetViews>
    <sheetView tabSelected="1" workbookViewId="0">
      <selection activeCell="D7" sqref="D7"/>
    </sheetView>
  </sheetViews>
  <sheetFormatPr defaultRowHeight="14.4" x14ac:dyDescent="0.3"/>
  <cols>
    <col min="1" max="1" width="8.33203125" bestFit="1" customWidth="1"/>
    <col min="2" max="2" width="17.44140625" bestFit="1" customWidth="1"/>
    <col min="3" max="3" width="16.5546875" bestFit="1" customWidth="1"/>
    <col min="4" max="4" width="15.88671875" bestFit="1" customWidth="1"/>
    <col min="5" max="5" width="15.33203125" bestFit="1" customWidth="1"/>
    <col min="6" max="6" width="19.109375" bestFit="1" customWidth="1"/>
    <col min="8" max="8" width="17.44140625" bestFit="1" customWidth="1"/>
    <col min="9" max="9" width="15.77734375" bestFit="1" customWidth="1"/>
    <col min="10" max="10" width="14.88671875" bestFit="1" customWidth="1"/>
    <col min="12" max="12" width="15.21875" bestFit="1" customWidth="1"/>
    <col min="13" max="13" width="15.77734375" bestFit="1" customWidth="1"/>
    <col min="14" max="14" width="8.109375" bestFit="1" customWidth="1"/>
  </cols>
  <sheetData>
    <row r="1" spans="1:14" ht="14.4" customHeight="1" x14ac:dyDescent="0.3">
      <c r="D1" s="22" t="s">
        <v>45</v>
      </c>
      <c r="E1" s="22"/>
      <c r="F1" s="22"/>
      <c r="G1" s="22"/>
      <c r="H1" s="22"/>
    </row>
    <row r="2" spans="1:14" ht="14.4" customHeight="1" x14ac:dyDescent="0.3">
      <c r="D2" s="22"/>
      <c r="E2" s="22"/>
      <c r="F2" s="22"/>
      <c r="G2" s="22"/>
      <c r="H2" s="22"/>
    </row>
    <row r="3" spans="1:14" ht="23.4" customHeight="1" x14ac:dyDescent="0.3">
      <c r="D3" s="22"/>
      <c r="E3" s="22"/>
      <c r="F3" s="22"/>
      <c r="G3" s="22"/>
      <c r="H3" s="22"/>
    </row>
    <row r="5" spans="1:14" ht="14.4" customHeight="1" x14ac:dyDescent="0.3">
      <c r="A5" s="3" t="s">
        <v>13</v>
      </c>
      <c r="B5" s="3"/>
      <c r="C5" s="3"/>
      <c r="E5" s="3" t="s">
        <v>17</v>
      </c>
      <c r="F5" s="3"/>
      <c r="H5" s="3" t="s">
        <v>20</v>
      </c>
      <c r="I5" s="3"/>
      <c r="J5" s="3"/>
      <c r="L5" s="3" t="s">
        <v>29</v>
      </c>
      <c r="M5" s="3"/>
      <c r="N5" s="3"/>
    </row>
    <row r="6" spans="1:14" ht="14.4" customHeight="1" x14ac:dyDescent="0.3">
      <c r="A6" s="3"/>
      <c r="B6" s="3"/>
      <c r="C6" s="3"/>
      <c r="E6" s="3"/>
      <c r="F6" s="3"/>
      <c r="H6" s="3"/>
      <c r="I6" s="3"/>
      <c r="J6" s="3"/>
      <c r="L6" s="3"/>
      <c r="M6" s="3"/>
      <c r="N6" s="3"/>
    </row>
    <row r="7" spans="1:14" ht="15.6" x14ac:dyDescent="0.3">
      <c r="A7" s="4" t="s">
        <v>0</v>
      </c>
      <c r="B7" s="4" t="s">
        <v>15</v>
      </c>
      <c r="C7" s="4" t="s">
        <v>1</v>
      </c>
      <c r="E7" s="5" t="s">
        <v>16</v>
      </c>
      <c r="F7" s="5" t="s">
        <v>21</v>
      </c>
      <c r="H7" s="5" t="s">
        <v>21</v>
      </c>
      <c r="I7" s="5" t="s">
        <v>22</v>
      </c>
      <c r="J7" s="5" t="s">
        <v>23</v>
      </c>
      <c r="L7" s="8" t="s">
        <v>30</v>
      </c>
      <c r="M7" s="8" t="s">
        <v>31</v>
      </c>
      <c r="N7" s="8" t="s">
        <v>32</v>
      </c>
    </row>
    <row r="8" spans="1:14" x14ac:dyDescent="0.3">
      <c r="A8" s="2" t="s">
        <v>2</v>
      </c>
      <c r="B8" s="2" t="s">
        <v>5</v>
      </c>
      <c r="C8" s="2" t="s">
        <v>9</v>
      </c>
      <c r="D8" s="1"/>
      <c r="E8" s="6" t="s">
        <v>5</v>
      </c>
      <c r="F8" s="6" t="s">
        <v>18</v>
      </c>
      <c r="H8" s="6" t="s">
        <v>18</v>
      </c>
      <c r="I8" s="6" t="s">
        <v>24</v>
      </c>
      <c r="J8" s="6" t="s">
        <v>25</v>
      </c>
      <c r="L8" s="6" t="s">
        <v>25</v>
      </c>
      <c r="M8" s="6">
        <v>120</v>
      </c>
      <c r="N8" s="6">
        <v>3</v>
      </c>
    </row>
    <row r="9" spans="1:14" x14ac:dyDescent="0.3">
      <c r="A9" s="2" t="s">
        <v>3</v>
      </c>
      <c r="B9" s="2" t="s">
        <v>6</v>
      </c>
      <c r="C9" s="2" t="s">
        <v>10</v>
      </c>
      <c r="D9" s="1"/>
      <c r="E9" s="6" t="s">
        <v>6</v>
      </c>
      <c r="F9" s="6" t="s">
        <v>19</v>
      </c>
      <c r="H9" s="6" t="s">
        <v>19</v>
      </c>
      <c r="I9" s="7" t="s">
        <v>26</v>
      </c>
      <c r="J9" s="6" t="s">
        <v>27</v>
      </c>
      <c r="L9" s="6" t="s">
        <v>33</v>
      </c>
      <c r="M9" s="6">
        <v>110</v>
      </c>
      <c r="N9" s="6">
        <v>4</v>
      </c>
    </row>
    <row r="10" spans="1:14" x14ac:dyDescent="0.3">
      <c r="A10" s="2" t="s">
        <v>4</v>
      </c>
      <c r="B10" s="2" t="s">
        <v>7</v>
      </c>
      <c r="C10" s="2" t="s">
        <v>12</v>
      </c>
      <c r="D10" s="1"/>
      <c r="E10" s="6" t="s">
        <v>7</v>
      </c>
      <c r="F10" s="6" t="s">
        <v>37</v>
      </c>
      <c r="H10" s="6" t="s">
        <v>37</v>
      </c>
      <c r="I10" s="6" t="s">
        <v>28</v>
      </c>
      <c r="J10" s="6" t="s">
        <v>34</v>
      </c>
      <c r="L10" s="6" t="s">
        <v>34</v>
      </c>
      <c r="M10" s="6">
        <v>130</v>
      </c>
      <c r="N10" s="6">
        <v>4</v>
      </c>
    </row>
    <row r="11" spans="1:14" x14ac:dyDescent="0.3">
      <c r="A11" s="2" t="s">
        <v>14</v>
      </c>
      <c r="B11" s="2" t="s">
        <v>8</v>
      </c>
      <c r="C11" s="2" t="s">
        <v>11</v>
      </c>
      <c r="D11" s="1"/>
    </row>
    <row r="12" spans="1:14" x14ac:dyDescent="0.3">
      <c r="A12" s="1"/>
      <c r="B12" s="1"/>
      <c r="C12" s="1"/>
      <c r="D12" s="1"/>
    </row>
    <row r="13" spans="1:14" x14ac:dyDescent="0.3">
      <c r="A13" s="1"/>
      <c r="B13" s="1"/>
      <c r="C13" s="1"/>
      <c r="D13" s="1"/>
    </row>
    <row r="14" spans="1:14" ht="18" x14ac:dyDescent="0.35">
      <c r="A14" s="1"/>
      <c r="B14" s="9" t="s">
        <v>35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4" ht="15.6" x14ac:dyDescent="0.3">
      <c r="E15" s="10" t="s">
        <v>0</v>
      </c>
      <c r="F15" s="11" t="s">
        <v>36</v>
      </c>
    </row>
    <row r="16" spans="1:14" x14ac:dyDescent="0.3">
      <c r="E16" s="2" t="s">
        <v>2</v>
      </c>
      <c r="F16" s="6">
        <f>VLOOKUP(VLOOKUP(VLOOKUP(VLOOKUP(E16,A7:C11,2,0),E7:F10,2,0),H7:J10,3,0),L7:N10,3,0)</f>
        <v>3</v>
      </c>
    </row>
    <row r="17" spans="2:17" x14ac:dyDescent="0.3">
      <c r="E17" s="2" t="s">
        <v>3</v>
      </c>
      <c r="F17" s="6">
        <f t="shared" ref="F17:F18" si="0">VLOOKUP(VLOOKUP(VLOOKUP(VLOOKUP(E17,A8:C12,2,0),E8:F11,2,0),H8:J11,3,0),L8:N11,3,0)</f>
        <v>4</v>
      </c>
    </row>
    <row r="18" spans="2:17" x14ac:dyDescent="0.3">
      <c r="E18" s="2" t="s">
        <v>4</v>
      </c>
      <c r="F18" s="6">
        <f t="shared" si="0"/>
        <v>4</v>
      </c>
    </row>
    <row r="22" spans="2:17" ht="18" x14ac:dyDescent="0.35">
      <c r="B22" s="12" t="s">
        <v>38</v>
      </c>
      <c r="C22" s="12"/>
      <c r="D22" s="12"/>
      <c r="E22" s="12"/>
      <c r="G22" s="12" t="s">
        <v>39</v>
      </c>
      <c r="H22" s="12"/>
      <c r="I22" s="12"/>
      <c r="J22" s="12"/>
      <c r="L22" s="13" t="s">
        <v>40</v>
      </c>
      <c r="M22" s="14"/>
      <c r="N22" s="14"/>
      <c r="O22" s="14"/>
      <c r="P22" s="14"/>
      <c r="Q22" s="14"/>
    </row>
    <row r="23" spans="2:17" ht="15.6" x14ac:dyDescent="0.3">
      <c r="C23" s="10" t="s">
        <v>0</v>
      </c>
      <c r="D23" s="10" t="s">
        <v>21</v>
      </c>
      <c r="H23" s="10" t="s">
        <v>16</v>
      </c>
      <c r="I23" s="10" t="s">
        <v>23</v>
      </c>
      <c r="M23" s="10" t="s">
        <v>22</v>
      </c>
      <c r="N23" s="16" t="s">
        <v>31</v>
      </c>
    </row>
    <row r="24" spans="2:17" x14ac:dyDescent="0.3">
      <c r="C24" s="2" t="s">
        <v>2</v>
      </c>
      <c r="D24" s="6" t="str">
        <f>VLOOKUP(VLOOKUP(C24,A7:C11,2,0),E7:F10,2,0)</f>
        <v>Dr. Pankaj Sharma</v>
      </c>
      <c r="H24" s="6" t="s">
        <v>5</v>
      </c>
      <c r="I24" s="6" t="str">
        <f>VLOOKUP(VLOOKUP(H24,E7:F10,2,0),H7:J10,3,0)</f>
        <v>Calculus</v>
      </c>
      <c r="M24" s="6" t="s">
        <v>24</v>
      </c>
      <c r="N24" s="6">
        <f>VLOOKUP(VLOOKUP(M24,I7:J10,2,0),L7:N10,2,0)</f>
        <v>120</v>
      </c>
    </row>
    <row r="25" spans="2:17" x14ac:dyDescent="0.3">
      <c r="C25" s="2" t="s">
        <v>3</v>
      </c>
      <c r="D25" s="6" t="str">
        <f t="shared" ref="D25:D26" si="1">VLOOKUP(VLOOKUP(C25,A8:C12,2,0),E8:F11,2,0)</f>
        <v>Dr.Prashant Singh</v>
      </c>
      <c r="H25" s="6" t="s">
        <v>6</v>
      </c>
      <c r="I25" s="6" t="str">
        <f t="shared" ref="I25:I26" si="2">VLOOKUP(VLOOKUP(H25,E8:F11,2,0),H8:J11,3,0)</f>
        <v>Quantum Physics</v>
      </c>
      <c r="M25" s="15" t="s">
        <v>26</v>
      </c>
      <c r="N25" s="6">
        <f t="shared" ref="N25:N26" si="3">VLOOKUP(VLOOKUP(M25,I8:J11,2,0),L8:N11,2,0)</f>
        <v>110</v>
      </c>
    </row>
    <row r="26" spans="2:17" x14ac:dyDescent="0.3">
      <c r="C26" s="2" t="s">
        <v>4</v>
      </c>
      <c r="D26" s="6" t="str">
        <f t="shared" si="1"/>
        <v xml:space="preserve">Dr.Adarsh Kumar </v>
      </c>
      <c r="H26" s="6" t="s">
        <v>7</v>
      </c>
      <c r="I26" s="6" t="str">
        <f t="shared" si="2"/>
        <v>Machine Learning</v>
      </c>
      <c r="M26" s="6" t="s">
        <v>28</v>
      </c>
      <c r="N26" s="6">
        <f t="shared" si="3"/>
        <v>130</v>
      </c>
    </row>
  </sheetData>
  <mergeCells count="9">
    <mergeCell ref="B14:L14"/>
    <mergeCell ref="B22:E22"/>
    <mergeCell ref="G22:J22"/>
    <mergeCell ref="L22:Q22"/>
    <mergeCell ref="A5:C6"/>
    <mergeCell ref="E5:F6"/>
    <mergeCell ref="H5:J6"/>
    <mergeCell ref="L5:N6"/>
    <mergeCell ref="D1:H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5FA3-4C39-4223-A9E1-2ACB7DD854FE}">
  <dimension ref="A1:V29"/>
  <sheetViews>
    <sheetView workbookViewId="0">
      <selection activeCell="E22" sqref="E22"/>
    </sheetView>
  </sheetViews>
  <sheetFormatPr defaultRowHeight="14.4" x14ac:dyDescent="0.3"/>
  <cols>
    <col min="1" max="1" width="15.33203125" bestFit="1" customWidth="1"/>
    <col min="2" max="2" width="15.88671875" bestFit="1" customWidth="1"/>
    <col min="3" max="3" width="15.44140625" bestFit="1" customWidth="1"/>
    <col min="4" max="4" width="15.77734375" bestFit="1" customWidth="1"/>
    <col min="5" max="5" width="9.77734375" bestFit="1" customWidth="1"/>
    <col min="6" max="6" width="15.88671875" bestFit="1" customWidth="1"/>
    <col min="8" max="8" width="15.33203125" bestFit="1" customWidth="1"/>
    <col min="9" max="9" width="15.88671875" bestFit="1" customWidth="1"/>
    <col min="10" max="10" width="15.44140625" bestFit="1" customWidth="1"/>
    <col min="11" max="11" width="15.109375" bestFit="1" customWidth="1"/>
    <col min="12" max="12" width="15.21875" bestFit="1" customWidth="1"/>
    <col min="13" max="13" width="7.109375" bestFit="1" customWidth="1"/>
    <col min="14" max="14" width="8.109375" bestFit="1" customWidth="1"/>
  </cols>
  <sheetData>
    <row r="1" spans="1:22" ht="14.4" customHeight="1" x14ac:dyDescent="0.3">
      <c r="E1" s="23" t="s">
        <v>44</v>
      </c>
      <c r="F1" s="24"/>
      <c r="G1" s="24"/>
      <c r="H1" s="24"/>
      <c r="I1" s="25"/>
    </row>
    <row r="2" spans="1:22" ht="14.4" customHeight="1" x14ac:dyDescent="0.3">
      <c r="E2" s="26"/>
      <c r="F2" s="27"/>
      <c r="G2" s="27"/>
      <c r="H2" s="27"/>
      <c r="I2" s="28"/>
    </row>
    <row r="3" spans="1:22" ht="14.4" customHeight="1" x14ac:dyDescent="0.3">
      <c r="E3" s="29"/>
      <c r="F3" s="30"/>
      <c r="G3" s="30"/>
      <c r="H3" s="30"/>
      <c r="I3" s="31"/>
    </row>
    <row r="4" spans="1:22" ht="14.4" customHeight="1" x14ac:dyDescent="0.3"/>
    <row r="5" spans="1:22" ht="18" x14ac:dyDescent="0.35">
      <c r="A5" s="20" t="s">
        <v>13</v>
      </c>
      <c r="B5" s="20"/>
      <c r="C5" s="20"/>
      <c r="D5" s="20"/>
      <c r="E5" s="20"/>
      <c r="H5" s="9" t="s">
        <v>35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5" customHeight="1" x14ac:dyDescent="0.3">
      <c r="A6" s="20"/>
      <c r="B6" s="20"/>
      <c r="C6" s="20"/>
      <c r="D6" s="20"/>
      <c r="E6" s="20"/>
      <c r="H6" s="18" t="s">
        <v>0</v>
      </c>
      <c r="I6" s="19" t="s">
        <v>2</v>
      </c>
      <c r="J6" s="19" t="s">
        <v>3</v>
      </c>
      <c r="K6" s="19" t="s">
        <v>4</v>
      </c>
    </row>
    <row r="7" spans="1:22" ht="15.6" x14ac:dyDescent="0.3">
      <c r="A7" s="4" t="s">
        <v>0</v>
      </c>
      <c r="B7" s="2" t="s">
        <v>2</v>
      </c>
      <c r="C7" s="2" t="s">
        <v>3</v>
      </c>
      <c r="D7" s="2" t="s">
        <v>4</v>
      </c>
      <c r="E7" s="2" t="s">
        <v>14</v>
      </c>
      <c r="H7" s="17" t="s">
        <v>32</v>
      </c>
      <c r="I7" s="2">
        <f>HLOOKUP(HLOOKUP(HLOOKUP(HLOOKUP(I6,A7:E9,2,0),A14:D15,2,0),A20:D22,3,0),A27:D29,3,0)</f>
        <v>3</v>
      </c>
      <c r="J7" s="2">
        <f t="shared" ref="J7:K7" si="0">HLOOKUP(HLOOKUP(HLOOKUP(HLOOKUP(J6,B7:F9,2,0),B14:E15,2,0),B20:E22,3,0),B27:E29,3,0)</f>
        <v>4</v>
      </c>
      <c r="K7" s="2">
        <f t="shared" si="0"/>
        <v>4</v>
      </c>
    </row>
    <row r="8" spans="1:22" ht="15.6" x14ac:dyDescent="0.3">
      <c r="A8" s="4" t="s">
        <v>15</v>
      </c>
      <c r="B8" s="2" t="s">
        <v>5</v>
      </c>
      <c r="C8" s="2" t="s">
        <v>6</v>
      </c>
      <c r="D8" s="2" t="s">
        <v>7</v>
      </c>
      <c r="E8" s="2" t="s">
        <v>8</v>
      </c>
    </row>
    <row r="9" spans="1:22" ht="15.6" x14ac:dyDescent="0.3">
      <c r="A9" s="4" t="s">
        <v>1</v>
      </c>
      <c r="B9" s="2" t="s">
        <v>9</v>
      </c>
      <c r="C9" s="2" t="s">
        <v>10</v>
      </c>
      <c r="D9" s="2" t="s">
        <v>12</v>
      </c>
      <c r="E9" s="2" t="s">
        <v>11</v>
      </c>
    </row>
    <row r="11" spans="1:22" ht="18" x14ac:dyDescent="0.35">
      <c r="H11" s="12" t="s">
        <v>38</v>
      </c>
      <c r="I11" s="12"/>
      <c r="J11" s="12"/>
      <c r="K11" s="12"/>
    </row>
    <row r="12" spans="1:22" ht="15.6" customHeight="1" x14ac:dyDescent="0.3">
      <c r="A12" s="20" t="s">
        <v>41</v>
      </c>
      <c r="B12" s="20"/>
      <c r="C12" s="20"/>
      <c r="D12" s="20"/>
      <c r="H12" s="17" t="s">
        <v>0</v>
      </c>
      <c r="I12" s="2" t="s">
        <v>2</v>
      </c>
      <c r="J12" s="2" t="s">
        <v>3</v>
      </c>
      <c r="K12" s="2" t="s">
        <v>4</v>
      </c>
    </row>
    <row r="13" spans="1:22" ht="14.4" customHeight="1" x14ac:dyDescent="0.3">
      <c r="A13" s="20"/>
      <c r="B13" s="20"/>
      <c r="C13" s="20"/>
      <c r="D13" s="20"/>
      <c r="H13" s="17" t="s">
        <v>21</v>
      </c>
      <c r="I13" s="6" t="str">
        <f>HLOOKUP(HLOOKUP(I12,A7:E9,2,0),A14:D15,2,0)</f>
        <v>Dr. Pankaj Sharma</v>
      </c>
      <c r="J13" s="6" t="str">
        <f t="shared" ref="J13:K13" si="1">HLOOKUP(HLOOKUP(J12,B7:F9,2,0),B14:E15,2,0)</f>
        <v>Dr.Prashant Singh</v>
      </c>
      <c r="K13" s="6" t="str">
        <f t="shared" si="1"/>
        <v xml:space="preserve">Dr.Adarsh Kumar </v>
      </c>
    </row>
    <row r="14" spans="1:22" ht="15.6" x14ac:dyDescent="0.3">
      <c r="A14" s="5" t="s">
        <v>16</v>
      </c>
      <c r="B14" s="6" t="s">
        <v>5</v>
      </c>
      <c r="C14" s="6" t="s">
        <v>6</v>
      </c>
      <c r="D14" s="6" t="s">
        <v>7</v>
      </c>
    </row>
    <row r="15" spans="1:22" ht="15.6" x14ac:dyDescent="0.3">
      <c r="A15" s="5" t="s">
        <v>21</v>
      </c>
      <c r="B15" s="6" t="s">
        <v>18</v>
      </c>
      <c r="C15" s="6" t="s">
        <v>19</v>
      </c>
      <c r="D15" s="6" t="s">
        <v>37</v>
      </c>
    </row>
    <row r="16" spans="1:22" ht="18" x14ac:dyDescent="0.35">
      <c r="H16" s="12" t="s">
        <v>39</v>
      </c>
      <c r="I16" s="12"/>
      <c r="J16" s="12"/>
      <c r="K16" s="12"/>
    </row>
    <row r="17" spans="1:11" ht="15.6" x14ac:dyDescent="0.3">
      <c r="H17" s="17" t="s">
        <v>16</v>
      </c>
      <c r="I17" s="2" t="s">
        <v>5</v>
      </c>
      <c r="J17" s="2" t="s">
        <v>6</v>
      </c>
      <c r="K17" s="2" t="s">
        <v>7</v>
      </c>
    </row>
    <row r="18" spans="1:11" ht="15.6" x14ac:dyDescent="0.3">
      <c r="A18" s="20" t="s">
        <v>42</v>
      </c>
      <c r="B18" s="20"/>
      <c r="C18" s="20"/>
      <c r="D18" s="20"/>
      <c r="H18" s="17" t="s">
        <v>23</v>
      </c>
      <c r="I18" s="2" t="str">
        <f>HLOOKUP(HLOOKUP(I17,A14:D15,2,0),A20:D22,3,0)</f>
        <v>Calculus</v>
      </c>
      <c r="J18" s="2" t="str">
        <f t="shared" ref="J18:K18" si="2">HLOOKUP(HLOOKUP(J17,B14:E15,2,0),B20:E22,3,0)</f>
        <v>Quantum Physics</v>
      </c>
      <c r="K18" s="2" t="str">
        <f t="shared" si="2"/>
        <v>Machine Learning</v>
      </c>
    </row>
    <row r="19" spans="1:11" x14ac:dyDescent="0.3">
      <c r="A19" s="20"/>
      <c r="B19" s="20"/>
      <c r="C19" s="20"/>
      <c r="D19" s="20"/>
    </row>
    <row r="20" spans="1:11" ht="15.6" x14ac:dyDescent="0.3">
      <c r="A20" s="5" t="s">
        <v>21</v>
      </c>
      <c r="B20" s="6" t="s">
        <v>18</v>
      </c>
      <c r="C20" s="6" t="s">
        <v>19</v>
      </c>
      <c r="D20" s="6" t="s">
        <v>37</v>
      </c>
    </row>
    <row r="21" spans="1:11" ht="18" x14ac:dyDescent="0.35">
      <c r="A21" s="5" t="s">
        <v>22</v>
      </c>
      <c r="B21" s="6" t="s">
        <v>24</v>
      </c>
      <c r="C21" s="7" t="s">
        <v>26</v>
      </c>
      <c r="D21" s="6" t="s">
        <v>28</v>
      </c>
      <c r="H21" s="12" t="s">
        <v>40</v>
      </c>
      <c r="I21" s="12"/>
      <c r="J21" s="12"/>
      <c r="K21" s="12"/>
    </row>
    <row r="22" spans="1:11" ht="15.6" x14ac:dyDescent="0.3">
      <c r="A22" s="5" t="s">
        <v>23</v>
      </c>
      <c r="B22" s="6" t="s">
        <v>25</v>
      </c>
      <c r="C22" s="6" t="s">
        <v>27</v>
      </c>
      <c r="D22" s="6" t="s">
        <v>34</v>
      </c>
      <c r="H22" s="18" t="s">
        <v>22</v>
      </c>
      <c r="I22" s="21" t="s">
        <v>24</v>
      </c>
      <c r="J22" s="7" t="s">
        <v>26</v>
      </c>
      <c r="K22" s="21" t="s">
        <v>28</v>
      </c>
    </row>
    <row r="23" spans="1:11" ht="15.6" x14ac:dyDescent="0.3">
      <c r="H23" s="17" t="s">
        <v>31</v>
      </c>
      <c r="I23" s="2">
        <f>HLOOKUP(HLOOKUP(I22,A21:D22,2,0),A27:D29,2,0)</f>
        <v>120</v>
      </c>
      <c r="J23" s="2">
        <f t="shared" ref="J23:K23" si="3">HLOOKUP(HLOOKUP(J22,B21:E22,2,0),B27:E29,2,0)</f>
        <v>110</v>
      </c>
      <c r="K23" s="2">
        <f t="shared" si="3"/>
        <v>130</v>
      </c>
    </row>
    <row r="25" spans="1:11" x14ac:dyDescent="0.3">
      <c r="A25" s="20" t="s">
        <v>43</v>
      </c>
      <c r="B25" s="20"/>
      <c r="C25" s="20"/>
      <c r="D25" s="20"/>
    </row>
    <row r="26" spans="1:11" x14ac:dyDescent="0.3">
      <c r="A26" s="20"/>
      <c r="B26" s="20"/>
      <c r="C26" s="20"/>
      <c r="D26" s="20"/>
    </row>
    <row r="27" spans="1:11" x14ac:dyDescent="0.3">
      <c r="A27" s="8" t="s">
        <v>30</v>
      </c>
      <c r="B27" s="6" t="s">
        <v>25</v>
      </c>
      <c r="C27" s="6" t="s">
        <v>33</v>
      </c>
      <c r="D27" s="6" t="s">
        <v>34</v>
      </c>
    </row>
    <row r="28" spans="1:11" x14ac:dyDescent="0.3">
      <c r="A28" s="8" t="s">
        <v>31</v>
      </c>
      <c r="B28" s="6">
        <v>120</v>
      </c>
      <c r="C28" s="6">
        <v>110</v>
      </c>
      <c r="D28" s="6">
        <v>130</v>
      </c>
    </row>
    <row r="29" spans="1:11" x14ac:dyDescent="0.3">
      <c r="A29" s="8" t="s">
        <v>32</v>
      </c>
      <c r="B29" s="6">
        <v>3</v>
      </c>
      <c r="C29" s="6">
        <v>4</v>
      </c>
      <c r="D29" s="6">
        <v>4</v>
      </c>
    </row>
  </sheetData>
  <mergeCells count="9">
    <mergeCell ref="A18:D19"/>
    <mergeCell ref="A25:D26"/>
    <mergeCell ref="H11:K11"/>
    <mergeCell ref="H5:V5"/>
    <mergeCell ref="H16:K16"/>
    <mergeCell ref="H21:K21"/>
    <mergeCell ref="A5:E6"/>
    <mergeCell ref="A12:D13"/>
    <mergeCell ref="E1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RAJPUT</dc:creator>
  <cp:lastModifiedBy>ABHI RAJPUT</cp:lastModifiedBy>
  <dcterms:created xsi:type="dcterms:W3CDTF">2025-11-08T13:39:00Z</dcterms:created>
  <dcterms:modified xsi:type="dcterms:W3CDTF">2025-11-13T07:15:56Z</dcterms:modified>
</cp:coreProperties>
</file>